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c92e94764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a16f761818c44b9"/>
    <x:sheet xmlns:r="http://schemas.openxmlformats.org/officeDocument/2006/relationships" name="Asset Register" sheetId="2" r:id="R16a8f1d6ef874e31"/>
    <x:sheet xmlns:r="http://schemas.openxmlformats.org/officeDocument/2006/relationships" name="Risk Register" sheetId="3" r:id="Rdefd77081bca4fb6"/>
    <x:sheet xmlns:r="http://schemas.openxmlformats.org/officeDocument/2006/relationships" name="Control Mapping" sheetId="4" r:id="R8852b99ab35140fd"/>
    <x:sheet xmlns:r="http://schemas.openxmlformats.org/officeDocument/2006/relationships" name="Lists" sheetId="5" r:id="R7bef676e248a4f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name val="Aptos"/>
    </x:font>
    <x:font>
      <x:b/>
      <x:sz val="11"/>
      <x:name val="Aptos"/>
    </x:font>
    <x:font>
      <x:b/>
      <x:sz val="12"/>
      <x:name val="Aptos"/>
    </x:font>
    <x:font>
      <x:sz val="10"/>
      <x:name val="Aptos"/>
    </x:font>
    <x:font>
      <x:b/>
      <x:sz val="16"/>
      <x:name val="Aptos"/>
    </x:font>
    <x:font>
      <x:b/>
      <x:sz val="11"/>
      <x:color rgb="1F2937"/>
      <x:name val="Aptos"/>
    </x:font>
    <x:font>
      <x:b/>
      <x:sz val="10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borderId="0" xfId="0" applyNumberFormat="1" applyFont="1" applyFill="0" applyBorder="1"/>
    <x:xf numFmtId="0" fontId="5" borderId="1" xfId="0" applyNumberFormat="1" applyFont="1" applyFill="0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borderId="0" xfId="0" applyNumberFormat="1" applyFont="1" applyFill="0" applyBorder="1"/>
    <x:xf numFmtId="0" fontId="6" borderId="1" xfId="0" applyNumberFormat="1" applyFont="1" applyFill="0" applyBorder="1"/>
    <x:xf numFmtId="0" fontId="6" borderId="0" xfId="0" applyNumberFormat="1" applyFont="1" applyFill="0" applyBorder="1" applyAlignment="1">
      <x:alignment wrapText="1"/>
    </x:xf>
    <x:xf numFmtId="0" fontId="6" borderId="1" xfId="0" applyNumberFormat="1" applyFont="1" applyFill="0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borderId="0" xfId="0" applyNumberFormat="1" applyFont="1" applyFill="0" applyBorder="1" applyAlignment="1">
      <x:alignment vertical="top" wrapText="1"/>
    </x:xf>
    <x:xf numFmtId="0" fontId="7" borderId="1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864010bade4b1c" /><Relationship Type="http://schemas.openxmlformats.org/officeDocument/2006/relationships/theme" Target="/xl/theme/theme1.xml" Id="R1699687f6a464cff" /><Relationship Type="http://schemas.openxmlformats.org/officeDocument/2006/relationships/sharedStrings" Target="/xl/sharedStrings.xml" Id="R7564d8e83f77416d" /><Relationship Type="http://schemas.openxmlformats.org/officeDocument/2006/relationships/worksheet" Target="/xl/worksheets/sheet1.xml" Id="R9a16f761818c44b9" /><Relationship Type="http://schemas.openxmlformats.org/officeDocument/2006/relationships/worksheet" Target="/xl/worksheets/sheet2.xml" Id="R16a8f1d6ef874e31" /><Relationship Type="http://schemas.openxmlformats.org/officeDocument/2006/relationships/worksheet" Target="/xl/worksheets/sheet3.xml" Id="Rdefd77081bca4fb6" /><Relationship Type="http://schemas.openxmlformats.org/officeDocument/2006/relationships/worksheet" Target="/xl/worksheets/sheet4.xml" Id="R8852b99ab35140fd" /><Relationship Type="http://schemas.openxmlformats.org/officeDocument/2006/relationships/worksheet" Target="/xl/worksheets/sheet5.xml" Id="R7bef676e248a4f88" /></Relationships>
</file>

<file path=xl/tables/table1.xml><?xml version="1.0" encoding="utf-8"?>
<x:table xmlns:x="http://schemas.openxmlformats.org/spreadsheetml/2006/main" id="1" name="SummaryTable" displayName="SummaryTable" ref="A6:B10" headerRowCount="1">
  <x:tableColumns count="2">
    <x:tableColumn id="1" name="Register"/>
    <x:tableColumn id="2" name="Count"/>
  </x:tableColumns>
  <x:tableStyleInfo name="TableStyleMedium2" showRowStripes="1"/>
</x:table>
</file>

<file path=xl/tables/table2.xml><?xml version="1.0" encoding="utf-8"?>
<x:table xmlns:x="http://schemas.openxmlformats.org/spreadsheetml/2006/main" id="2" name="AssetRegisterTable" displayName="AssetRegisterTable" ref="A3:F28" headerRowCount="1">
  <x:autoFilter ref="A3:F28"/>
  <x:tableColumns count="6">
    <x:tableColumn id="1" name="Asset ID"/>
    <x:tableColumn id="2" name="Asset"/>
    <x:tableColumn id="3" name="Category"/>
    <x:tableColumn id="4" name="Owner"/>
    <x:tableColumn id="5" name="Importance"/>
    <x:tableColumn id="6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RiskRegisterTable" displayName="RiskRegisterTable" ref="A3:G23" headerRowCount="1">
  <x:autoFilter ref="A3:G23"/>
  <x:tableColumns count="7">
    <x:tableColumn id="1" name="Risk ID"/>
    <x:tableColumn id="2" name="Risk"/>
    <x:tableColumn id="3" name="Affected Assets"/>
    <x:tableColumn id="4" name="Likelihood"/>
    <x:tableColumn id="5" name="Impact"/>
    <x:tableColumn id="6" name="Risk Level"/>
    <x:tableColumn id="7" name="Proposed Treatment"/>
  </x:tableColumns>
  <x:tableStyleInfo name="TableStyleMedium2" showRowStripes="1"/>
</x:table>
</file>

<file path=xl/tables/table4.xml><?xml version="1.0" encoding="utf-8"?>
<x:table xmlns:x="http://schemas.openxmlformats.org/spreadsheetml/2006/main" id="4" name="ControlMappingTable" displayName="ControlMappingTable" ref="A3:E18" headerRowCount="1">
  <x:autoFilter ref="A3:E18"/>
  <x:tableColumns count="5">
    <x:tableColumn id="1" name="Control ID"/>
    <x:tableColumn id="2" name="Control"/>
    <x:tableColumn id="3" name="Related Risks"/>
    <x:tableColumn id="4" name="Purpose"/>
    <x:tableColumn id="5" name="Practical Implemen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96f4f29b0e46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b806f38af844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8cbfca05264f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8bbf84356244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4" t="str">
        <x:v>Security Governance Pack Register Workbook</x:v>
      </x:c>
    </x:row>
    <x:row r="3">
      <x:c r="A3" s="6" t="str">
        <x:v>Selected Organization</x:v>
      </x:c>
      <x:c r="B3" t="str">
        <x:v>Medium-Sized Secondary School</x:v>
      </x:c>
    </x:row>
    <x:row r="4">
      <x:c r="A4" s="6" t="str">
        <x:v>Purpose</x:v>
      </x:c>
      <x:c r="B4" t="str">
        <x:v>This workbook contains the Asset Register, Risk Register, and Control Mapping for the final Security Governance Pack.</x:v>
      </x:c>
    </x:row>
    <x:row r="6">
      <x:c r="A6" s="8" t="str">
        <x:v>Register</x:v>
      </x:c>
      <x:c r="B6" s="8" t="str">
        <x:v>Count</x:v>
      </x:c>
    </x:row>
    <x:row r="7">
      <x:c r="A7" t="str">
        <x:v>Assets</x:v>
      </x:c>
      <x:c r="B7" t="n">
        <x:f>COUNTA('Asset Register'!A4:A200)</x:f>
        <x:v>25</x:v>
      </x:c>
    </x:row>
    <x:row r="8">
      <x:c r="A8" t="str">
        <x:v>Risks</x:v>
      </x:c>
      <x:c r="B8" t="n">
        <x:f>COUNTA('Risk Register'!A4:A200)</x:f>
        <x:v>20</x:v>
      </x:c>
    </x:row>
    <x:row r="9">
      <x:c r="A9" t="str">
        <x:v>Controls</x:v>
      </x:c>
      <x:c r="B9" t="n">
        <x:f>COUNTA('Control Mapping'!A4:A200)</x:f>
        <x:v>15</x:v>
      </x:c>
    </x:row>
    <x:row r="10">
      <x:c r="A10" t="str">
        <x:v>Critical Risks</x:v>
      </x:c>
      <x:c r="B10" t="n">
        <x:f>COUNTIF('Risk Register'!F4:F200,"Critical")</x:f>
        <x:v>7</x:v>
      </x:c>
    </x:row>
    <x:row r="12">
      <x:c r="A12" s="10" t="str">
        <x:v>Notes for submission</x:v>
      </x:c>
    </x:row>
    <x:row r="13" ht="28" customHeight="1">
      <x:c r="A13" s="14" t="str">
        <x:v>1. Use these tables as your official register lists in the report.</x:v>
      </x:c>
      <x:c r="B13" s="15"/>
      <x:c r="C13" s="15"/>
      <x:c r="D13" s="15"/>
      <x:c r="E13" s="15"/>
      <x:c r="F13" s="15"/>
      <x:c r="G13" s="15"/>
      <x:c r="H13" s="15"/>
    </x:row>
    <x:row r="14" ht="28" customHeight="1">
      <x:c r="A14" s="14" t="str">
        <x:v>2. Keep Asset ID, Risk ID, and Control ID stable so they can be referenced in the written report and video.</x:v>
      </x:c>
      <x:c r="B14" s="15"/>
      <x:c r="C14" s="15"/>
      <x:c r="D14" s="15"/>
      <x:c r="E14" s="15"/>
      <x:c r="F14" s="15"/>
      <x:c r="G14" s="15"/>
      <x:c r="H14" s="15"/>
    </x:row>
    <x:row r="15" ht="28" customHeight="1">
      <x:c r="A15" s="14" t="str">
        <x:v>3. You can add owners, due dates, or status fields later if the professor asks for project tracking detail.</x:v>
      </x:c>
      <x:c r="B15" s="15"/>
      <x:c r="C15" s="15"/>
      <x:c r="D15" s="15"/>
      <x:c r="E15" s="15"/>
      <x:c r="F15" s="15"/>
      <x:c r="G15" s="15"/>
      <x:c r="H15" s="15"/>
    </x:row>
    <x:row r="16" ht="28" customHeight="1">
      <x:c r="A16" s="14" t="str">
        <x:v>4. The lists are built as Excel tables, so filters and sorting are already enabled.</x:v>
      </x:c>
      <x:c r="B16" s="15"/>
      <x:c r="C16" s="15"/>
      <x:c r="D16" s="15"/>
      <x:c r="E16" s="15"/>
      <x:c r="F16" s="15"/>
      <x:c r="G16" s="15"/>
      <x:c r="H16" s="15"/>
    </x:row>
  </x:sheetData>
  <x:mergeCells>
    <x:mergeCell ref="A1:H1"/>
    <x:mergeCell ref="B3:H3"/>
    <x:mergeCell ref="B4:H4"/>
    <x:mergeCell ref="A12:H12"/>
  </x:mergeCells>
  <x:pageMargins left="0.7" right="0.7" top="0.75" bottom="0.75" header="0.3" footer="0.3"/>
  <x:tableParts count="1">
    <x:tablePart xmlns:r="http://schemas.openxmlformats.org/officeDocument/2006/relationships" r:id="R8696f4f29b0e46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20" hidden="0" customWidth="1"/>
    <x:col min="5" max="5" width="14" hidden="0" customWidth="1"/>
    <x:col min="6" max="6" width="60" hidden="0" customWidth="1"/>
  </x:cols>
  <x:sheetData>
    <x:row r="1" ht="28" customHeight="1">
      <x:c r="A1" s="20" t="str">
        <x:v>Asset Register</x:v>
      </x:c>
    </x:row>
    <x:row r="3" ht="30" customHeight="1">
      <x:c r="A3" s="26" t="str">
        <x:v>Asset ID</x:v>
      </x:c>
      <x:c r="B3" s="26" t="str">
        <x:v>Asset</x:v>
      </x:c>
      <x:c r="C3" s="26" t="str">
        <x:v>Category</x:v>
      </x:c>
      <x:c r="D3" s="26" t="str">
        <x:v>Owner</x:v>
      </x:c>
      <x:c r="E3" s="26" t="str">
        <x:v>Importance</x:v>
      </x:c>
      <x:c r="F3" s="26" t="str">
        <x:v>Description</x:v>
      </x:c>
    </x:row>
    <x:row r="4" ht="38" customHeight="1">
      <x:c r="A4" s="32" t="str">
        <x:v>A01</x:v>
      </x:c>
      <x:c r="B4" s="28" t="str">
        <x:v>Student Information System</x:v>
      </x:c>
      <x:c r="C4" s="28" t="str">
        <x:v>Application/Data</x:v>
      </x:c>
      <x:c r="D4" s="28" t="str">
        <x:v>Administration</x:v>
      </x:c>
      <x:c r="E4" s="28" t="str">
        <x:v>Critical</x:v>
      </x:c>
      <x:c r="F4" s="28" t="str">
        <x:v>Stores student records, grades, attendance, and personal data.</x:v>
      </x:c>
    </x:row>
    <x:row r="5" ht="38" customHeight="1">
      <x:c r="A5" s="32" t="str">
        <x:v>A02</x:v>
      </x:c>
      <x:c r="B5" s="28" t="str">
        <x:v>Active Directory Server</x:v>
      </x:c>
      <x:c r="C5" s="28" t="str">
        <x:v>Server/Identity</x:v>
      </x:c>
      <x:c r="D5" s="28" t="str">
        <x:v>IT Department</x:v>
      </x:c>
      <x:c r="E5" s="28" t="str">
        <x:v>Critical</x:v>
      </x:c>
      <x:c r="F5" s="28" t="str">
        <x:v>Manages user accounts, authentication, and access rights.</x:v>
      </x:c>
    </x:row>
    <x:row r="6" ht="38" customHeight="1">
      <x:c r="A6" s="32" t="str">
        <x:v>A03</x:v>
      </x:c>
      <x:c r="B6" s="28" t="str">
        <x:v>File Server</x:v>
      </x:c>
      <x:c r="C6" s="28" t="str">
        <x:v>Server/Data</x:v>
      </x:c>
      <x:c r="D6" s="28" t="str">
        <x:v>IT Department</x:v>
      </x:c>
      <x:c r="E6" s="28" t="str">
        <x:v>High</x:v>
      </x:c>
      <x:c r="F6" s="28" t="str">
        <x:v>Stores shared documents for teachers, administration, and departments.</x:v>
      </x:c>
    </x:row>
    <x:row r="7" ht="38" customHeight="1">
      <x:c r="A7" s="32" t="str">
        <x:v>A04</x:v>
      </x:c>
      <x:c r="B7" s="28" t="str">
        <x:v>Backup Server</x:v>
      </x:c>
      <x:c r="C7" s="28" t="str">
        <x:v>Server/Recovery</x:v>
      </x:c>
      <x:c r="D7" s="28" t="str">
        <x:v>IT Department</x:v>
      </x:c>
      <x:c r="E7" s="28" t="str">
        <x:v>Critical</x:v>
      </x:c>
      <x:c r="F7" s="28" t="str">
        <x:v>Stores backups of important systems and school data.</x:v>
      </x:c>
    </x:row>
    <x:row r="8" ht="38" customHeight="1">
      <x:c r="A8" s="32" t="str">
        <x:v>A05</x:v>
      </x:c>
      <x:c r="B8" s="28" t="str">
        <x:v>Firewall</x:v>
      </x:c>
      <x:c r="C8" s="28" t="str">
        <x:v>Network Security</x:v>
      </x:c>
      <x:c r="D8" s="28" t="str">
        <x:v>IT Department</x:v>
      </x:c>
      <x:c r="E8" s="28" t="str">
        <x:v>Critical</x:v>
      </x:c>
      <x:c r="F8" s="28" t="str">
        <x:v>Protects the school network from external threats.</x:v>
      </x:c>
    </x:row>
    <x:row r="9" ht="38" customHeight="1">
      <x:c r="A9" s="32" t="str">
        <x:v>A06</x:v>
      </x:c>
      <x:c r="B9" s="28" t="str">
        <x:v>Core Switch</x:v>
      </x:c>
      <x:c r="C9" s="28" t="str">
        <x:v>Network</x:v>
      </x:c>
      <x:c r="D9" s="28" t="str">
        <x:v>IT Department</x:v>
      </x:c>
      <x:c r="E9" s="28" t="str">
        <x:v>Critical</x:v>
      </x:c>
      <x:c r="F9" s="28" t="str">
        <x:v>Connects main network segments inside the school.</x:v>
      </x:c>
    </x:row>
    <x:row r="10" ht="38" customHeight="1">
      <x:c r="A10" s="32" t="str">
        <x:v>A07</x:v>
      </x:c>
      <x:c r="B10" s="28" t="str">
        <x:v>Classroom Switches</x:v>
      </x:c>
      <x:c r="C10" s="28" t="str">
        <x:v>Network</x:v>
      </x:c>
      <x:c r="D10" s="28" t="str">
        <x:v>IT Department</x:v>
      </x:c>
      <x:c r="E10" s="28" t="str">
        <x:v>High</x:v>
      </x:c>
      <x:c r="F10" s="28" t="str">
        <x:v>Provide network connectivity to classrooms and labs.</x:v>
      </x:c>
    </x:row>
    <x:row r="11" ht="38" customHeight="1">
      <x:c r="A11" s="32" t="str">
        <x:v>A08</x:v>
      </x:c>
      <x:c r="B11" s="28" t="str">
        <x:v>Wi-Fi Access Points</x:v>
      </x:c>
      <x:c r="C11" s="28" t="str">
        <x:v>Network</x:v>
      </x:c>
      <x:c r="D11" s="28" t="str">
        <x:v>IT Department</x:v>
      </x:c>
      <x:c r="E11" s="28" t="str">
        <x:v>High</x:v>
      </x:c>
      <x:c r="F11" s="28" t="str">
        <x:v>Provide wireless access for staff, students, and guests.</x:v>
      </x:c>
    </x:row>
    <x:row r="12" ht="38" customHeight="1">
      <x:c r="A12" s="32" t="str">
        <x:v>A09</x:v>
      </x:c>
      <x:c r="B12" s="28" t="str">
        <x:v>Teacher Laptops</x:v>
      </x:c>
      <x:c r="C12" s="28" t="str">
        <x:v>End User Devices</x:v>
      </x:c>
      <x:c r="D12" s="28" t="str">
        <x:v>Teachers / IT</x:v>
      </x:c>
      <x:c r="E12" s="28" t="str">
        <x:v>High</x:v>
      </x:c>
      <x:c r="F12" s="28" t="str">
        <x:v>Used for teaching, grading, email, and school platforms.</x:v>
      </x:c>
    </x:row>
    <x:row r="13" ht="38" customHeight="1">
      <x:c r="A13" s="32" t="str">
        <x:v>A10</x:v>
      </x:c>
      <x:c r="B13" s="28" t="str">
        <x:v>Student Lab PCs</x:v>
      </x:c>
      <x:c r="C13" s="28" t="str">
        <x:v>End User Devices</x:v>
      </x:c>
      <x:c r="D13" s="28" t="str">
        <x:v>IT Department</x:v>
      </x:c>
      <x:c r="E13" s="28" t="str">
        <x:v>High</x:v>
      </x:c>
      <x:c r="F13" s="28" t="str">
        <x:v>Used by students for lessons and practical work.</x:v>
      </x:c>
    </x:row>
    <x:row r="14" ht="38" customHeight="1">
      <x:c r="A14" s="32" t="str">
        <x:v>A11</x:v>
      </x:c>
      <x:c r="B14" s="28" t="str">
        <x:v>Administrative PCs</x:v>
      </x:c>
      <x:c r="C14" s="28" t="str">
        <x:v>End User Devices</x:v>
      </x:c>
      <x:c r="D14" s="28" t="str">
        <x:v>Administration</x:v>
      </x:c>
      <x:c r="E14" s="28" t="str">
        <x:v>Critical</x:v>
      </x:c>
      <x:c r="F14" s="28" t="str">
        <x:v>Used for finance, student records, HR, and official communication.</x:v>
      </x:c>
    </x:row>
    <x:row r="15" ht="38" customHeight="1">
      <x:c r="A15" s="32" t="str">
        <x:v>A12</x:v>
      </x:c>
      <x:c r="B15" s="28" t="str">
        <x:v>Email System</x:v>
      </x:c>
      <x:c r="C15" s="28" t="str">
        <x:v>Cloud/Communication</x:v>
      </x:c>
      <x:c r="D15" s="28" t="str">
        <x:v>School Management</x:v>
      </x:c>
      <x:c r="E15" s="28" t="str">
        <x:v>Critical</x:v>
      </x:c>
      <x:c r="F15" s="28" t="str">
        <x:v>Used for internal and external communication.</x:v>
      </x:c>
    </x:row>
    <x:row r="16" ht="38" customHeight="1">
      <x:c r="A16" s="32" t="str">
        <x:v>A13</x:v>
      </x:c>
      <x:c r="B16" s="28" t="str">
        <x:v>Learning Management System</x:v>
      </x:c>
      <x:c r="C16" s="28" t="str">
        <x:v>Cloud/Application</x:v>
      </x:c>
      <x:c r="D16" s="28" t="str">
        <x:v>Teachers</x:v>
      </x:c>
      <x:c r="E16" s="28" t="str">
        <x:v>High</x:v>
      </x:c>
      <x:c r="F16" s="28" t="str">
        <x:v>Used for online assignments, materials, and student communication.</x:v>
      </x:c>
    </x:row>
    <x:row r="17" ht="38" customHeight="1">
      <x:c r="A17" s="32" t="str">
        <x:v>A14</x:v>
      </x:c>
      <x:c r="B17" s="28" t="str">
        <x:v>Printer and Copier System</x:v>
      </x:c>
      <x:c r="C17" s="28" t="str">
        <x:v>Peripheral</x:v>
      </x:c>
      <x:c r="D17" s="28" t="str">
        <x:v>Administration / IT</x:v>
      </x:c>
      <x:c r="E17" s="28" t="str">
        <x:v>Medium</x:v>
      </x:c>
      <x:c r="F17" s="28" t="str">
        <x:v>Used for printing exams, official documents, and teaching material.</x:v>
      </x:c>
    </x:row>
    <x:row r="18" ht="38" customHeight="1">
      <x:c r="A18" s="32" t="str">
        <x:v>A15</x:v>
      </x:c>
      <x:c r="B18" s="28" t="str">
        <x:v>Antivirus / EDR Platform</x:v>
      </x:c>
      <x:c r="C18" s="28" t="str">
        <x:v>Security Tool</x:v>
      </x:c>
      <x:c r="D18" s="28" t="str">
        <x:v>IT Department</x:v>
      </x:c>
      <x:c r="E18" s="28" t="str">
        <x:v>High</x:v>
      </x:c>
      <x:c r="F18" s="28" t="str">
        <x:v>Detects and blocks malware on servers and endpoints.</x:v>
      </x:c>
    </x:row>
    <x:row r="19" ht="38" customHeight="1">
      <x:c r="A19" s="32" t="str">
        <x:v>A16</x:v>
      </x:c>
      <x:c r="B19" s="28" t="str">
        <x:v>CCTV System</x:v>
      </x:c>
      <x:c r="C19" s="28" t="str">
        <x:v>Physical Security</x:v>
      </x:c>
      <x:c r="D19" s="28" t="str">
        <x:v>School Management</x:v>
      </x:c>
      <x:c r="E19" s="28" t="str">
        <x:v>Medium</x:v>
      </x:c>
      <x:c r="F19" s="28" t="str">
        <x:v>Supports physical security and monitoring of school premises.</x:v>
      </x:c>
    </x:row>
    <x:row r="20" ht="38" customHeight="1">
      <x:c r="A20" s="32" t="str">
        <x:v>A17</x:v>
      </x:c>
      <x:c r="B20" s="28" t="str">
        <x:v>Network Cabling Infrastructure</x:v>
      </x:c>
      <x:c r="C20" s="28" t="str">
        <x:v>Infrastructure</x:v>
      </x:c>
      <x:c r="D20" s="28" t="str">
        <x:v>IT Department</x:v>
      </x:c>
      <x:c r="E20" s="28" t="str">
        <x:v>High</x:v>
      </x:c>
      <x:c r="F20" s="28" t="str">
        <x:v>Physical cabling connecting classrooms, offices, and server room.</x:v>
      </x:c>
    </x:row>
    <x:row r="21" ht="38" customHeight="1">
      <x:c r="A21" s="32" t="str">
        <x:v>A18</x:v>
      </x:c>
      <x:c r="B21" s="28" t="str">
        <x:v>Server Room</x:v>
      </x:c>
      <x:c r="C21" s="28" t="str">
        <x:v>Physical Asset</x:v>
      </x:c>
      <x:c r="D21" s="28" t="str">
        <x:v>IT Department</x:v>
      </x:c>
      <x:c r="E21" s="28" t="str">
        <x:v>Critical</x:v>
      </x:c>
      <x:c r="F21" s="28" t="str">
        <x:v>Contains servers, switches, firewall, UPS, and backup equipment.</x:v>
      </x:c>
    </x:row>
    <x:row r="22" ht="38" customHeight="1">
      <x:c r="A22" s="32" t="str">
        <x:v>A19</x:v>
      </x:c>
      <x:c r="B22" s="28" t="str">
        <x:v>UPS Power Supply</x:v>
      </x:c>
      <x:c r="C22" s="28" t="str">
        <x:v>Infrastructure</x:v>
      </x:c>
      <x:c r="D22" s="28" t="str">
        <x:v>IT Department</x:v>
      </x:c>
      <x:c r="E22" s="28" t="str">
        <x:v>High</x:v>
      </x:c>
      <x:c r="F22" s="28" t="str">
        <x:v>Provides temporary power during outages.</x:v>
      </x:c>
    </x:row>
    <x:row r="23" ht="38" customHeight="1">
      <x:c r="A23" s="32" t="str">
        <x:v>A20</x:v>
      </x:c>
      <x:c r="B23" s="28" t="str">
        <x:v>School Website</x:v>
      </x:c>
      <x:c r="C23" s="28" t="str">
        <x:v>Public Application</x:v>
      </x:c>
      <x:c r="D23" s="28" t="str">
        <x:v>School Management</x:v>
      </x:c>
      <x:c r="E23" s="28" t="str">
        <x:v>Medium</x:v>
      </x:c>
      <x:c r="F23" s="28" t="str">
        <x:v>Provides public information about the school.</x:v>
      </x:c>
    </x:row>
    <x:row r="24" ht="38" customHeight="1">
      <x:c r="A24" s="32" t="str">
        <x:v>A21</x:v>
      </x:c>
      <x:c r="B24" s="28" t="str">
        <x:v>Financial Records</x:v>
      </x:c>
      <x:c r="C24" s="28" t="str">
        <x:v>Data</x:v>
      </x:c>
      <x:c r="D24" s="28" t="str">
        <x:v>Accounting</x:v>
      </x:c>
      <x:c r="E24" s="28" t="str">
        <x:v>Critical</x:v>
      </x:c>
      <x:c r="F24" s="28" t="str">
        <x:v>Contains invoices, payroll data, and financial documents.</x:v>
      </x:c>
    </x:row>
    <x:row r="25" ht="38" customHeight="1">
      <x:c r="A25" s="32" t="str">
        <x:v>A22</x:v>
      </x:c>
      <x:c r="B25" s="28" t="str">
        <x:v>HR Records</x:v>
      </x:c>
      <x:c r="C25" s="28" t="str">
        <x:v>Data</x:v>
      </x:c>
      <x:c r="D25" s="28" t="str">
        <x:v>Administration</x:v>
      </x:c>
      <x:c r="E25" s="28" t="str">
        <x:v>Critical</x:v>
      </x:c>
      <x:c r="F25" s="28" t="str">
        <x:v>Contains employee contracts, personal data, and employment records.</x:v>
      </x:c>
    </x:row>
    <x:row r="26" ht="38" customHeight="1">
      <x:c r="A26" s="32" t="str">
        <x:v>A23</x:v>
      </x:c>
      <x:c r="B26" s="28" t="str">
        <x:v>Student Personal Data</x:v>
      </x:c>
      <x:c r="C26" s="28" t="str">
        <x:v>Data</x:v>
      </x:c>
      <x:c r="D26" s="28" t="str">
        <x:v>Administration</x:v>
      </x:c>
      <x:c r="E26" s="28" t="str">
        <x:v>Critical</x:v>
      </x:c>
      <x:c r="F26" s="28" t="str">
        <x:v>Includes names, addresses, grades, attendance, and parent contact data.</x:v>
      </x:c>
    </x:row>
    <x:row r="27" ht="38" customHeight="1">
      <x:c r="A27" s="32" t="str">
        <x:v>A24</x:v>
      </x:c>
      <x:c r="B27" s="28" t="str">
        <x:v>Guest Wi-Fi Network</x:v>
      </x:c>
      <x:c r="C27" s="28" t="str">
        <x:v>Network</x:v>
      </x:c>
      <x:c r="D27" s="28" t="str">
        <x:v>IT Department</x:v>
      </x:c>
      <x:c r="E27" s="28" t="str">
        <x:v>Medium</x:v>
      </x:c>
      <x:c r="F27" s="28" t="str">
        <x:v>Provides internet access to visitors and temporary users.</x:v>
      </x:c>
    </x:row>
    <x:row r="28" ht="38" customHeight="1">
      <x:c r="A28" s="32" t="str">
        <x:v>A25</x:v>
      </x:c>
      <x:c r="B28" s="28" t="str">
        <x:v>Software Licenses</x:v>
      </x:c>
      <x:c r="C28" s="28" t="str">
        <x:v>Software Asset</x:v>
      </x:c>
      <x:c r="D28" s="28" t="str">
        <x:v>IT Department</x:v>
      </x:c>
      <x:c r="E28" s="28" t="str">
        <x:v>Medium</x:v>
      </x:c>
      <x:c r="F28" s="28" t="str">
        <x:v>Includes operating systems, office software, antivirus, and educational tools.</x:v>
      </x:c>
    </x:row>
  </x:sheetData>
  <x:mergeCells>
    <x:mergeCell ref="A1:F1"/>
  </x:mergeCells>
  <x:dataValidations count="1">
    <x:dataValidation type="list" allowBlank="1" showDropDown="0" sqref="E4:E20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b806f38af844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36" hidden="0" customWidth="1"/>
    <x:col min="4" max="4" width="14" hidden="0" customWidth="1"/>
    <x:col min="5" max="5" width="14" hidden="0" customWidth="1"/>
    <x:col min="6" max="6" width="14" hidden="0" customWidth="1"/>
    <x:col min="7" max="7" width="52" hidden="0" customWidth="1"/>
  </x:cols>
  <x:sheetData>
    <x:row r="1" ht="28" customHeight="1">
      <x:c r="A1" s="20" t="str">
        <x:v>Risk Register</x:v>
      </x:c>
    </x:row>
    <x:row r="3" ht="30" customHeight="1">
      <x:c r="A3" s="26" t="str">
        <x:v>Risk ID</x:v>
      </x:c>
      <x:c r="B3" s="26" t="str">
        <x:v>Risk</x:v>
      </x:c>
      <x:c r="C3" s="26" t="str">
        <x:v>Affected Assets</x:v>
      </x:c>
      <x:c r="D3" s="26" t="str">
        <x:v>Likelihood</x:v>
      </x:c>
      <x:c r="E3" s="26" t="str">
        <x:v>Impact</x:v>
      </x:c>
      <x:c r="F3" s="26" t="str">
        <x:v>Risk Level</x:v>
      </x:c>
      <x:c r="G3" s="26" t="str">
        <x:v>Proposed Treatment</x:v>
      </x:c>
    </x:row>
    <x:row r="4" ht="38" customHeight="1">
      <x:c r="A4" s="32" t="str">
        <x:v>R01</x:v>
      </x:c>
      <x:c r="B4" s="28" t="str">
        <x:v>Phishing attack against teachers or administration</x:v>
      </x:c>
      <x:c r="C4" s="28" t="str">
        <x:v>Email, AD, Student Data</x:v>
      </x:c>
      <x:c r="D4" s="28" t="str">
        <x:v>High</x:v>
      </x:c>
      <x:c r="E4" s="28" t="str">
        <x:v>High</x:v>
      </x:c>
      <x:c r="F4" s="28" t="str">
        <x:v>Critical</x:v>
      </x:c>
      <x:c r="G4" s="28" t="str">
        <x:v>Security awareness, MFA, email filtering</x:v>
      </x:c>
    </x:row>
    <x:row r="5" ht="38" customHeight="1">
      <x:c r="A5" s="32" t="str">
        <x:v>R02</x:v>
      </x:c>
      <x:c r="B5" s="28" t="str">
        <x:v>Ransomware infection</x:v>
      </x:c>
      <x:c r="C5" s="28" t="str">
        <x:v>Servers, PCs, File Server, Backups</x:v>
      </x:c>
      <x:c r="D5" s="28" t="str">
        <x:v>Medium</x:v>
      </x:c>
      <x:c r="E5" s="28" t="str">
        <x:v>Critical</x:v>
      </x:c>
      <x:c r="F5" s="28" t="str">
        <x:v>Critical</x:v>
      </x:c>
      <x:c r="G5" s="28" t="str">
        <x:v>EDR, backups, patching, network segmentation</x:v>
      </x:c>
    </x:row>
    <x:row r="6" ht="38" customHeight="1">
      <x:c r="A6" s="32" t="str">
        <x:v>R03</x:v>
      </x:c>
      <x:c r="B6" s="28" t="str">
        <x:v>Weak or reused passwords</x:v>
      </x:c>
      <x:c r="C6" s="28" t="str">
        <x:v>AD, Email, LMS</x:v>
      </x:c>
      <x:c r="D6" s="28" t="str">
        <x:v>High</x:v>
      </x:c>
      <x:c r="E6" s="28" t="str">
        <x:v>High</x:v>
      </x:c>
      <x:c r="F6" s="28" t="str">
        <x:v>Critical</x:v>
      </x:c>
      <x:c r="G6" s="28" t="str">
        <x:v>Password policy, MFA, account lockout</x:v>
      </x:c>
    </x:row>
    <x:row r="7" ht="38" customHeight="1">
      <x:c r="A7" s="32" t="str">
        <x:v>R04</x:v>
      </x:c>
      <x:c r="B7" s="28" t="str">
        <x:v>Unauthorized access to student records</x:v>
      </x:c>
      <x:c r="C7" s="28" t="str">
        <x:v>Student Information System</x:v>
      </x:c>
      <x:c r="D7" s="28" t="str">
        <x:v>Medium</x:v>
      </x:c>
      <x:c r="E7" s="28" t="str">
        <x:v>Critical</x:v>
      </x:c>
      <x:c r="F7" s="28" t="str">
        <x:v>Critical</x:v>
      </x:c>
      <x:c r="G7" s="28" t="str">
        <x:v>Least privilege, access reviews, logging</x:v>
      </x:c>
    </x:row>
    <x:row r="8" ht="38" customHeight="1">
      <x:c r="A8" s="32" t="str">
        <x:v>R05</x:v>
      </x:c>
      <x:c r="B8" s="28" t="str">
        <x:v>Loss or theft of teacher laptop</x:v>
      </x:c>
      <x:c r="C8" s="28" t="str">
        <x:v>Teacher laptops, student data</x:v>
      </x:c>
      <x:c r="D8" s="28" t="str">
        <x:v>Medium</x:v>
      </x:c>
      <x:c r="E8" s="28" t="str">
        <x:v>High</x:v>
      </x:c>
      <x:c r="F8" s="28" t="str">
        <x:v>High</x:v>
      </x:c>
      <x:c r="G8" s="28" t="str">
        <x:v>Disk encryption, remote wipe, device inventory</x:v>
      </x:c>
    </x:row>
    <x:row r="9" ht="38" customHeight="1">
      <x:c r="A9" s="32" t="str">
        <x:v>R06</x:v>
      </x:c>
      <x:c r="B9" s="28" t="str">
        <x:v>Outdated software vulnerabilities</x:v>
      </x:c>
      <x:c r="C9" s="28" t="str">
        <x:v>PCs, servers, applications</x:v>
      </x:c>
      <x:c r="D9" s="28" t="str">
        <x:v>High</x:v>
      </x:c>
      <x:c r="E9" s="28" t="str">
        <x:v>High</x:v>
      </x:c>
      <x:c r="F9" s="28" t="str">
        <x:v>Critical</x:v>
      </x:c>
      <x:c r="G9" s="28" t="str">
        <x:v>Patch management and vulnerability scanning</x:v>
      </x:c>
    </x:row>
    <x:row r="10" ht="38" customHeight="1">
      <x:c r="A10" s="32" t="str">
        <x:v>R07</x:v>
      </x:c>
      <x:c r="B10" s="28" t="str">
        <x:v>Backup failure during incident</x:v>
      </x:c>
      <x:c r="C10" s="28" t="str">
        <x:v>Backup server, file server</x:v>
      </x:c>
      <x:c r="D10" s="28" t="str">
        <x:v>Medium</x:v>
      </x:c>
      <x:c r="E10" s="28" t="str">
        <x:v>Critical</x:v>
      </x:c>
      <x:c r="F10" s="28" t="str">
        <x:v>Critical</x:v>
      </x:c>
      <x:c r="G10" s="28" t="str">
        <x:v>Backup testing, offline backups, recovery drills</x:v>
      </x:c>
    </x:row>
    <x:row r="11" ht="38" customHeight="1">
      <x:c r="A11" s="32" t="str">
        <x:v>R08</x:v>
      </x:c>
      <x:c r="B11" s="28" t="str">
        <x:v>Malware from USB devices</x:v>
      </x:c>
      <x:c r="C11" s="28" t="str">
        <x:v>Lab PCs, teacher laptops</x:v>
      </x:c>
      <x:c r="D11" s="28" t="str">
        <x:v>Medium</x:v>
      </x:c>
      <x:c r="E11" s="28" t="str">
        <x:v>Medium</x:v>
      </x:c>
      <x:c r="F11" s="28" t="str">
        <x:v>Medium</x:v>
      </x:c>
      <x:c r="G11" s="28" t="str">
        <x:v>USB control, antivirus, user training</x:v>
      </x:c>
    </x:row>
    <x:row r="12" ht="38" customHeight="1">
      <x:c r="A12" s="32" t="str">
        <x:v>R09</x:v>
      </x:c>
      <x:c r="B12" s="28" t="str">
        <x:v>Student misuse of school network</x:v>
      </x:c>
      <x:c r="C12" s="28" t="str">
        <x:v>Lab PCs, Wi-Fi, internet</x:v>
      </x:c>
      <x:c r="D12" s="28" t="str">
        <x:v>High</x:v>
      </x:c>
      <x:c r="E12" s="28" t="str">
        <x:v>Medium</x:v>
      </x:c>
      <x:c r="F12" s="28" t="str">
        <x:v>High</x:v>
      </x:c>
      <x:c r="G12" s="28" t="str">
        <x:v>Acceptable use policy, web filtering, monitoring</x:v>
      </x:c>
    </x:row>
    <x:row r="13" ht="38" customHeight="1">
      <x:c r="A13" s="32" t="str">
        <x:v>R10</x:v>
      </x:c>
      <x:c r="B13" s="28" t="str">
        <x:v>Internet outage</x:v>
      </x:c>
      <x:c r="C13" s="28" t="str">
        <x:v>LMS, email, online teaching</x:v>
      </x:c>
      <x:c r="D13" s="28" t="str">
        <x:v>Medium</x:v>
      </x:c>
      <x:c r="E13" s="28" t="str">
        <x:v>High</x:v>
      </x:c>
      <x:c r="F13" s="28" t="str">
        <x:v>High</x:v>
      </x:c>
      <x:c r="G13" s="28" t="str">
        <x:v>ISP support contract, backup procedures</x:v>
      </x:c>
    </x:row>
    <x:row r="14" ht="38" customHeight="1">
      <x:c r="A14" s="32" t="str">
        <x:v>R11</x:v>
      </x:c>
      <x:c r="B14" s="28" t="str">
        <x:v>Server hardware failure</x:v>
      </x:c>
      <x:c r="C14" s="28" t="str">
        <x:v>AD, file server, student system</x:v>
      </x:c>
      <x:c r="D14" s="28" t="str">
        <x:v>Medium</x:v>
      </x:c>
      <x:c r="E14" s="28" t="str">
        <x:v>High</x:v>
      </x:c>
      <x:c r="F14" s="28" t="str">
        <x:v>High</x:v>
      </x:c>
      <x:c r="G14" s="28" t="str">
        <x:v>UPS, backups, spare hardware, recovery plan</x:v>
      </x:c>
    </x:row>
    <x:row r="15" ht="38" customHeight="1">
      <x:c r="A15" s="32" t="str">
        <x:v>R12</x:v>
      </x:c>
      <x:c r="B15" s="28" t="str">
        <x:v>Data leakage through email</x:v>
      </x:c>
      <x:c r="C15" s="28" t="str">
        <x:v>Email, student/HR data</x:v>
      </x:c>
      <x:c r="D15" s="28" t="str">
        <x:v>Medium</x:v>
      </x:c>
      <x:c r="E15" s="28" t="str">
        <x:v>High</x:v>
      </x:c>
      <x:c r="F15" s="28" t="str">
        <x:v>High</x:v>
      </x:c>
      <x:c r="G15" s="28" t="str">
        <x:v>DLP awareness, email policy, access control</x:v>
      </x:c>
    </x:row>
    <x:row r="16" ht="38" customHeight="1">
      <x:c r="A16" s="32" t="str">
        <x:v>R13</x:v>
      </x:c>
      <x:c r="B16" s="28" t="str">
        <x:v>Poorly managed guest Wi-Fi</x:v>
      </x:c>
      <x:c r="C16" s="28" t="str">
        <x:v>Wi-Fi, internal network</x:v>
      </x:c>
      <x:c r="D16" s="28" t="str">
        <x:v>Medium</x:v>
      </x:c>
      <x:c r="E16" s="28" t="str">
        <x:v>Medium</x:v>
      </x:c>
      <x:c r="F16" s="28" t="str">
        <x:v>Medium</x:v>
      </x:c>
      <x:c r="G16" s="28" t="str">
        <x:v>Separate guest VLAN, password rotation</x:v>
      </x:c>
    </x:row>
    <x:row r="17" ht="38" customHeight="1">
      <x:c r="A17" s="32" t="str">
        <x:v>R14</x:v>
      </x:c>
      <x:c r="B17" s="28" t="str">
        <x:v>Lack of incident response process</x:v>
      </x:c>
      <x:c r="C17" s="28" t="str">
        <x:v>All systems</x:v>
      </x:c>
      <x:c r="D17" s="28" t="str">
        <x:v>Medium</x:v>
      </x:c>
      <x:c r="E17" s="28" t="str">
        <x:v>High</x:v>
      </x:c>
      <x:c r="F17" s="28" t="str">
        <x:v>High</x:v>
      </x:c>
      <x:c r="G17" s="28" t="str">
        <x:v>Incident response policy and escalation plan</x:v>
      </x:c>
    </x:row>
    <x:row r="18" ht="38" customHeight="1">
      <x:c r="A18" s="32" t="str">
        <x:v>R15</x:v>
      </x:c>
      <x:c r="B18" s="28" t="str">
        <x:v>Excessive user privileges</x:v>
      </x:c>
      <x:c r="C18" s="28" t="str">
        <x:v>AD, file shares, admin systems</x:v>
      </x:c>
      <x:c r="D18" s="28" t="str">
        <x:v>Medium</x:v>
      </x:c>
      <x:c r="E18" s="28" t="str">
        <x:v>High</x:v>
      </x:c>
      <x:c r="F18" s="28" t="str">
        <x:v>High</x:v>
      </x:c>
      <x:c r="G18" s="28" t="str">
        <x:v>Least privilege, admin account separation</x:v>
      </x:c>
    </x:row>
    <x:row r="19" ht="38" customHeight="1">
      <x:c r="A19" s="32" t="str">
        <x:v>R16</x:v>
      </x:c>
      <x:c r="B19" s="28" t="str">
        <x:v>Physical access to server room</x:v>
      </x:c>
      <x:c r="C19" s="28" t="str">
        <x:v>Servers, network equipment</x:v>
      </x:c>
      <x:c r="D19" s="28" t="str">
        <x:v>Low</x:v>
      </x:c>
      <x:c r="E19" s="28" t="str">
        <x:v>Critical</x:v>
      </x:c>
      <x:c r="F19" s="28" t="str">
        <x:v>High</x:v>
      </x:c>
      <x:c r="G19" s="28" t="str">
        <x:v>Locked server room, access log, CCTV</x:v>
      </x:c>
    </x:row>
    <x:row r="20" ht="38" customHeight="1">
      <x:c r="A20" s="32" t="str">
        <x:v>R17</x:v>
      </x:c>
      <x:c r="B20" s="28" t="str">
        <x:v>Website defacement</x:v>
      </x:c>
      <x:c r="C20" s="28" t="str">
        <x:v>School website</x:v>
      </x:c>
      <x:c r="D20" s="28" t="str">
        <x:v>Medium</x:v>
      </x:c>
      <x:c r="E20" s="28" t="str">
        <x:v>Medium</x:v>
      </x:c>
      <x:c r="F20" s="28" t="str">
        <x:v>Medium</x:v>
      </x:c>
      <x:c r="G20" s="28" t="str">
        <x:v>Updates, strong admin passwords, backups</x:v>
      </x:c>
    </x:row>
    <x:row r="21" ht="38" customHeight="1">
      <x:c r="A21" s="32" t="str">
        <x:v>R18</x:v>
      </x:c>
      <x:c r="B21" s="28" t="str">
        <x:v>Printer data exposure</x:v>
      </x:c>
      <x:c r="C21" s="28" t="str">
        <x:v>Printers, printed documents</x:v>
      </x:c>
      <x:c r="D21" s="28" t="str">
        <x:v>Medium</x:v>
      </x:c>
      <x:c r="E21" s="28" t="str">
        <x:v>Medium</x:v>
      </x:c>
      <x:c r="F21" s="28" t="str">
        <x:v>Medium</x:v>
      </x:c>
      <x:c r="G21" s="28" t="str">
        <x:v>Secure print, document handling policy</x:v>
      </x:c>
    </x:row>
    <x:row r="22" ht="38" customHeight="1">
      <x:c r="A22" s="32" t="str">
        <x:v>R19</x:v>
      </x:c>
      <x:c r="B22" s="28" t="str">
        <x:v>Lack of security awareness</x:v>
      </x:c>
      <x:c r="C22" s="28" t="str">
        <x:v>Staff and students</x:v>
      </x:c>
      <x:c r="D22" s="28" t="str">
        <x:v>High</x:v>
      </x:c>
      <x:c r="E22" s="28" t="str">
        <x:v>High</x:v>
      </x:c>
      <x:c r="F22" s="28" t="str">
        <x:v>Critical</x:v>
      </x:c>
      <x:c r="G22" s="28" t="str">
        <x:v>Regular training and phishing simulations</x:v>
      </x:c>
    </x:row>
    <x:row r="23" ht="38" customHeight="1">
      <x:c r="A23" s="32" t="str">
        <x:v>R20</x:v>
      </x:c>
      <x:c r="B23" s="28" t="str">
        <x:v>Misconfigured cloud permissions</x:v>
      </x:c>
      <x:c r="C23" s="28" t="str">
        <x:v>Email, LMS, shared files</x:v>
      </x:c>
      <x:c r="D23" s="28" t="str">
        <x:v>Medium</x:v>
      </x:c>
      <x:c r="E23" s="28" t="str">
        <x:v>High</x:v>
      </x:c>
      <x:c r="F23" s="28" t="str">
        <x:v>High</x:v>
      </x:c>
      <x:c r="G23" s="28" t="str">
        <x:v>Permission reviews, MFA, admin logging</x:v>
      </x:c>
    </x:row>
  </x:sheetData>
  <x:mergeCells>
    <x:mergeCell ref="A1:G1"/>
  </x:mergeCells>
  <x:dataValidations count="3">
    <x:dataValidation type="list" allowBlank="1" showDropDown="0" sqref="D4:D200">
      <x:formula1>"Low,Medium,High"</x:formula1>
    </x:dataValidation>
    <x:dataValidation type="list" allowBlank="1" showDropDown="0" sqref="E4:E200">
      <x:formula1>"Low,Medium,High,Critical"</x:formula1>
    </x:dataValidation>
    <x:dataValidation type="list" allowBlank="1" showDropDown="0" sqref="F4:F2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8cbfca05264f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6" hidden="0" customWidth="1"/>
    <x:col min="4" max="4" width="36" hidden="0" customWidth="1"/>
    <x:col min="5" max="5" width="58" hidden="0" customWidth="1"/>
  </x:cols>
  <x:sheetData>
    <x:row r="1" ht="28" customHeight="1">
      <x:c r="A1" s="20" t="str">
        <x:v>Control Mapping</x:v>
      </x:c>
    </x:row>
    <x:row r="3" ht="30" customHeight="1">
      <x:c r="A3" s="26" t="str">
        <x:v>Control ID</x:v>
      </x:c>
      <x:c r="B3" s="26" t="str">
        <x:v>Control</x:v>
      </x:c>
      <x:c r="C3" s="26" t="str">
        <x:v>Related Risks</x:v>
      </x:c>
      <x:c r="D3" s="26" t="str">
        <x:v>Purpose</x:v>
      </x:c>
      <x:c r="E3" s="26" t="str">
        <x:v>Practical Implementation</x:v>
      </x:c>
    </x:row>
    <x:row r="4" ht="38" customHeight="1">
      <x:c r="A4" s="32" t="str">
        <x:v>C01</x:v>
      </x:c>
      <x:c r="B4" s="28" t="str">
        <x:v>Multi-Factor Authentication</x:v>
      </x:c>
      <x:c r="C4" s="28" t="str">
        <x:v>R01, R03, R04, R20</x:v>
      </x:c>
      <x:c r="D4" s="28" t="str">
        <x:v>Reduces account takeover risk</x:v>
      </x:c>
      <x:c r="E4" s="28" t="str">
        <x:v>Enable MFA for staff email, admin accounts, and cloud systems.</x:v>
      </x:c>
    </x:row>
    <x:row r="5" ht="38" customHeight="1">
      <x:c r="A5" s="32" t="str">
        <x:v>C02</x:v>
      </x:c>
      <x:c r="B5" s="28" t="str">
        <x:v>Password Policy</x:v>
      </x:c>
      <x:c r="C5" s="28" t="str">
        <x:v>R03, R15</x:v>
      </x:c>
      <x:c r="D5" s="28" t="str">
        <x:v>Prevents weak authentication</x:v>
      </x:c>
      <x:c r="E5" s="28" t="str">
        <x:v>Require strong passwords, minimum length, and account lockout after failed attempts.</x:v>
      </x:c>
    </x:row>
    <x:row r="6" ht="38" customHeight="1">
      <x:c r="A6" s="32" t="str">
        <x:v>C03</x:v>
      </x:c>
      <x:c r="B6" s="28" t="str">
        <x:v>Security Awareness Training</x:v>
      </x:c>
      <x:c r="C6" s="28" t="str">
        <x:v>R01, R09, R12, R19</x:v>
      </x:c>
      <x:c r="D6" s="28" t="str">
        <x:v>Reduces human error</x:v>
      </x:c>
      <x:c r="E6" s="28" t="str">
        <x:v>Annual training for staff and basic cyber hygiene lessons for students.</x:v>
      </x:c>
    </x:row>
    <x:row r="7" ht="38" customHeight="1">
      <x:c r="A7" s="32" t="str">
        <x:v>C04</x:v>
      </x:c>
      <x:c r="B7" s="28" t="str">
        <x:v>Email Filtering</x:v>
      </x:c>
      <x:c r="C7" s="28" t="str">
        <x:v>R01, R12</x:v>
      </x:c>
      <x:c r="D7" s="28" t="str">
        <x:v>Blocks phishing and malicious attachments</x:v>
      </x:c>
      <x:c r="E7" s="28" t="str">
        <x:v>Use spam filtering, attachment scanning, and suspicious link protection.</x:v>
      </x:c>
    </x:row>
    <x:row r="8" ht="38" customHeight="1">
      <x:c r="A8" s="32" t="str">
        <x:v>C05</x:v>
      </x:c>
      <x:c r="B8" s="28" t="str">
        <x:v>Endpoint Protection / EDR</x:v>
      </x:c>
      <x:c r="C8" s="28" t="str">
        <x:v>R02, R06, R08</x:v>
      </x:c>
      <x:c r="D8" s="28" t="str">
        <x:v>Detects malware and suspicious behavior</x:v>
      </x:c>
      <x:c r="E8" s="28" t="str">
        <x:v>Install centrally managed antivirus/EDR on servers and endpoints.</x:v>
      </x:c>
    </x:row>
    <x:row r="9" ht="38" customHeight="1">
      <x:c r="A9" s="32" t="str">
        <x:v>C06</x:v>
      </x:c>
      <x:c r="B9" s="28" t="str">
        <x:v>Patch Management</x:v>
      </x:c>
      <x:c r="C9" s="28" t="str">
        <x:v>R02, R06, R17</x:v>
      </x:c>
      <x:c r="D9" s="28" t="str">
        <x:v>Reduces known vulnerabilities</x:v>
      </x:c>
      <x:c r="E9" s="28" t="str">
        <x:v>Monthly patching for Windows, browsers, servers, and applications.</x:v>
      </x:c>
    </x:row>
    <x:row r="10" ht="38" customHeight="1">
      <x:c r="A10" s="32" t="str">
        <x:v>C07</x:v>
      </x:c>
      <x:c r="B10" s="28" t="str">
        <x:v>Backup and Recovery Control</x:v>
      </x:c>
      <x:c r="C10" s="28" t="str">
        <x:v>R02, R07, R11</x:v>
      </x:c>
      <x:c r="D10" s="28" t="str">
        <x:v>Ensures data can be restored</x:v>
      </x:c>
      <x:c r="E10" s="28" t="str">
        <x:v>Daily backups, weekly offline copy, and monthly restore testing.</x:v>
      </x:c>
    </x:row>
    <x:row r="11" ht="38" customHeight="1">
      <x:c r="A11" s="32" t="str">
        <x:v>C08</x:v>
      </x:c>
      <x:c r="B11" s="28" t="str">
        <x:v>Network Segmentation</x:v>
      </x:c>
      <x:c r="C11" s="28" t="str">
        <x:v>R02, R09, R13</x:v>
      </x:c>
      <x:c r="D11" s="28" t="str">
        <x:v>Limits spread of attacks</x:v>
      </x:c>
      <x:c r="E11" s="28" t="str">
        <x:v>Separate staff, student, guest, server, and admin networks.</x:v>
      </x:c>
    </x:row>
    <x:row r="12" ht="38" customHeight="1">
      <x:c r="A12" s="32" t="str">
        <x:v>C09</x:v>
      </x:c>
      <x:c r="B12" s="28" t="str">
        <x:v>Least Privilege Access</x:v>
      </x:c>
      <x:c r="C12" s="28" t="str">
        <x:v>R04, R15, R20</x:v>
      </x:c>
      <x:c r="D12" s="28" t="str">
        <x:v>Limits unnecessary access</x:v>
      </x:c>
      <x:c r="E12" s="28" t="str">
        <x:v>Users only get access required for their role.</x:v>
      </x:c>
    </x:row>
    <x:row r="13" ht="38" customHeight="1">
      <x:c r="A13" s="32" t="str">
        <x:v>C10</x:v>
      </x:c>
      <x:c r="B13" s="28" t="str">
        <x:v>Logging and Monitoring</x:v>
      </x:c>
      <x:c r="C13" s="28" t="str">
        <x:v>R04, R14, R15, R20</x:v>
      </x:c>
      <x:c r="D13" s="28" t="str">
        <x:v>Supports detection and investigation</x:v>
      </x:c>
      <x:c r="E13" s="28" t="str">
        <x:v>Log admin activity, login attempts, file access, and security alerts.</x:v>
      </x:c>
    </x:row>
    <x:row r="14" ht="38" customHeight="1">
      <x:c r="A14" s="32" t="str">
        <x:v>C11</x:v>
      </x:c>
      <x:c r="B14" s="28" t="str">
        <x:v>Physical Security</x:v>
      </x:c>
      <x:c r="C14" s="28" t="str">
        <x:v>R16</x:v>
      </x:c>
      <x:c r="D14" s="28" t="str">
        <x:v>Protects equipment from theft or tampering</x:v>
      </x:c>
      <x:c r="E14" s="28" t="str">
        <x:v>Locked server room, limited key access, CCTV, and visitor control.</x:v>
      </x:c>
    </x:row>
    <x:row r="15" ht="38" customHeight="1">
      <x:c r="A15" s="32" t="str">
        <x:v>C12</x:v>
      </x:c>
      <x:c r="B15" s="28" t="str">
        <x:v>Acceptable Use Policy</x:v>
      </x:c>
      <x:c r="C15" s="28" t="str">
        <x:v>R09, R18, R19</x:v>
      </x:c>
      <x:c r="D15" s="28" t="str">
        <x:v>Defines allowed and forbidden behavior</x:v>
      </x:c>
      <x:c r="E15" s="28" t="str">
        <x:v>Staff and students must follow rules for network and device usage.</x:v>
      </x:c>
    </x:row>
    <x:row r="16" ht="38" customHeight="1">
      <x:c r="A16" s="32" t="str">
        <x:v>C13</x:v>
      </x:c>
      <x:c r="B16" s="28" t="str">
        <x:v>Incident Response Plan</x:v>
      </x:c>
      <x:c r="C16" s="28" t="str">
        <x:v>R02, R14, R19</x:v>
      </x:c>
      <x:c r="D16" s="28" t="str">
        <x:v>Provides clear response steps</x:v>
      </x:c>
      <x:c r="E16" s="28" t="str">
        <x:v>Define how to report, contain, investigate, and recover from incidents.</x:v>
      </x:c>
    </x:row>
    <x:row r="17" ht="38" customHeight="1">
      <x:c r="A17" s="32" t="str">
        <x:v>C14</x:v>
      </x:c>
      <x:c r="B17" s="28" t="str">
        <x:v>Device Encryption</x:v>
      </x:c>
      <x:c r="C17" s="28" t="str">
        <x:v>R05, R12</x:v>
      </x:c>
      <x:c r="D17" s="28" t="str">
        <x:v>Protects data on lost devices</x:v>
      </x:c>
      <x:c r="E17" s="28" t="str">
        <x:v>Enable BitLocker or similar encryption on laptops.</x:v>
      </x:c>
    </x:row>
    <x:row r="18" ht="38" customHeight="1">
      <x:c r="A18" s="32" t="str">
        <x:v>C15</x:v>
      </x:c>
      <x:c r="B18" s="28" t="str">
        <x:v>Access Review Process</x:v>
      </x:c>
      <x:c r="C18" s="28" t="str">
        <x:v>R04, R15, R20</x:v>
      </x:c>
      <x:c r="D18" s="28" t="str">
        <x:v>Prevents stale permissions</x:v>
      </x:c>
      <x:c r="E18" s="28" t="str">
        <x:v>Review staff, admin, and shared folder permissions every 6 months.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b8bbf84356244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8" t="str">
        <x:v>Importance</x:v>
      </x:c>
      <x:c r="B1" s="8" t="str">
        <x:v>Likelihood</x:v>
      </x:c>
      <x:c r="C1" s="8" t="str">
        <x:v>Impact</x:v>
      </x:c>
      <x:c r="D1" s="8" t="str">
        <x:v>Risk Level</x:v>
      </x:c>
      <x:c r="E1" s="8" t="str">
        <x:v>Register Status</x:v>
      </x:c>
    </x:row>
    <x:row r="2">
      <x:c r="A2" t="str">
        <x:v>Critical</x:v>
      </x:c>
      <x:c r="B2" t="str">
        <x:v>High</x:v>
      </x:c>
      <x:c r="C2" t="str">
        <x:v>Critical</x:v>
      </x:c>
      <x:c r="D2" t="str">
        <x:v>Critical</x:v>
      </x:c>
      <x:c r="E2" t="str">
        <x:v>Draft</x:v>
      </x:c>
    </x:row>
    <x:row r="3">
      <x:c r="A3" t="str">
        <x:v>High</x:v>
      </x:c>
      <x:c r="B3" t="str">
        <x:v>Medium</x:v>
      </x:c>
      <x:c r="C3" t="str">
        <x:v>High</x:v>
      </x:c>
      <x:c r="D3" t="str">
        <x:v>High</x:v>
      </x:c>
      <x:c r="E3" t="str">
        <x:v>Review</x:v>
      </x:c>
    </x:row>
    <x:row r="4">
      <x:c r="A4" t="str">
        <x:v>Medium</x:v>
      </x:c>
      <x:c r="B4" t="str">
        <x:v>Low</x:v>
      </x:c>
      <x:c r="C4" t="str">
        <x:v>Medium</x:v>
      </x:c>
      <x:c r="D4" t="str">
        <x:v>Medium</x:v>
      </x:c>
      <x:c r="E4" t="str">
        <x:v>Approved</x:v>
      </x:c>
    </x:row>
    <x:row r="5">
      <x:c r="A5" t="str">
        <x:v>Low</x:v>
      </x:c>
      <x:c r="C5" t="str">
        <x:v>Low</x:v>
      </x:c>
      <x:c r="D5" t="str">
        <x:v>Low</x:v>
      </x:c>
      <x:c r="E5" t="str">
        <x:v>Retired</x:v>
      </x:c>
    </x:row>
  </x:sheetData>
  <x:pageMargins left="0.7" right="0.7" top="0.75" bottom="0.75" header="0.3" footer="0.3"/>
</x:worksheet>
</file>